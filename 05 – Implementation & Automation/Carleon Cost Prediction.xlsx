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.sharepoint.com/sites/MA-BDAspring2025-26-B-Quercis/Gedeelde documenten/"/>
    </mc:Choice>
  </mc:AlternateContent>
  <xr:revisionPtr revIDLastSave="0" documentId="8_{77B2688B-2990-4A30-8785-E36DC13E9222}" xr6:coauthVersionLast="47" xr6:coauthVersionMax="47" xr10:uidLastSave="{00000000-0000-0000-0000-000000000000}"/>
  <bookViews>
    <workbookView xWindow="-108" yWindow="-108" windowWidth="23256" windowHeight="12456" xr2:uid="{967D5D24-78C3-44A3-9A44-1F14E033A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5" i="1"/>
  <c r="E5" i="1" s="1"/>
  <c r="D6" i="1"/>
  <c r="E6" i="1" s="1"/>
  <c r="D7" i="1"/>
  <c r="E7" i="1" s="1"/>
  <c r="D8" i="1"/>
  <c r="E8" i="1" s="1"/>
  <c r="D9" i="1"/>
  <c r="E9" i="1" s="1"/>
  <c r="D4" i="1"/>
  <c r="E4" i="1" s="1"/>
  <c r="J5" i="1"/>
  <c r="J6" i="1"/>
  <c r="J7" i="1"/>
  <c r="J4" i="1"/>
  <c r="E10" i="1" l="1"/>
</calcChain>
</file>

<file path=xl/sharedStrings.xml><?xml version="1.0" encoding="utf-8"?>
<sst xmlns="http://schemas.openxmlformats.org/spreadsheetml/2006/main" count="22" uniqueCount="21">
  <si>
    <t>Task</t>
  </si>
  <si>
    <t>Estimated Hours</t>
  </si>
  <si>
    <t>Total</t>
  </si>
  <si>
    <t>Exact Globe connection setup</t>
  </si>
  <si>
    <t>Power BI dashboard creation</t>
  </si>
  <si>
    <t>Power Automate workflow setup</t>
  </si>
  <si>
    <t>Testing + adjustments</t>
  </si>
  <si>
    <t>Price per hour</t>
  </si>
  <si>
    <t>Rate:</t>
  </si>
  <si>
    <t>Description</t>
  </si>
  <si>
    <t>Cost per Month</t>
  </si>
  <si>
    <t>Cost per Year</t>
  </si>
  <si>
    <t>Power Automate Premium (per user)</t>
  </si>
  <si>
    <t>Power Automate Process (enterprise)</t>
  </si>
  <si>
    <t>Power BI Free</t>
  </si>
  <si>
    <t>Power BI Pro (optional)</t>
  </si>
  <si>
    <t>Usage Costs</t>
  </si>
  <si>
    <t>Hourly/Employee costs</t>
  </si>
  <si>
    <t>Problem analysis</t>
  </si>
  <si>
    <t>Requirements Analysis</t>
  </si>
  <si>
    <t>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</si>
</sst>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4" fontId="0" fillId="0" borderId="0" xfId="1" applyFont="1"/>
    <xf numFmtId="44" fontId="0" fillId="0" borderId="0" xfId="0" applyNumberFormat="1" applyAlignment="1">
      <alignment vertical="center" wrapText="1"/>
    </xf>
    <xf numFmtId="44" fontId="0" fillId="0" borderId="0" xfId="1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9">
    <dxf>
      <numFmt numFmtId="34" formatCode="_ &quot;€&quot;\ * #,##0.00_ ;_ &quot;€&quot;\ * \-#,##0.00_ ;_ &quot;€&quot;\ * &quot;-&quot;??_ ;_ 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4" formatCode="_ &quot;€&quot;\ * #,##0.00_ ;_ &quot;€&quot;\ * \-#,##0.00_ ;_ &quot;€&quot;\ * &quot;-&quot;??_ ;_ 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EFF77-DF0C-49CE-8987-A9B44EFFED29}" name="Table1" displayName="Table1" ref="B3:E10" totalsRowShown="0" headerRowDxfId="8">
  <autoFilter ref="B3:E10" xr:uid="{DFCEFF77-DF0C-49CE-8987-A9B44EFFED29}"/>
  <tableColumns count="4">
    <tableColumn id="1" xr3:uid="{D2DFCB35-A3F5-4E19-BCEF-C4DD3093FDD3}" name="Task" dataDxfId="7"/>
    <tableColumn id="2" xr3:uid="{25BA0DAB-B36C-4E81-BF20-45BF1BB4F6C9}" name="Estimated Hours" dataDxfId="6"/>
    <tableColumn id="3" xr3:uid="{9D209460-62FC-4CD2-9D8D-229D4601203A}" name="Price per hour" dataDxfId="5">
      <calculatedColumnFormula>$C$12</calculatedColumnFormula>
    </tableColumn>
    <tableColumn id="4" xr3:uid="{5E745D9E-6464-4184-BC72-44CF30CF306D}" name="Total" dataDxfId="4" dataCellStyle="Currency">
      <calculatedColumnFormula>D4*C4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EBB2F0-CAD1-4436-BF3B-6C73FDEAF2B2}" name="Table2" displayName="Table2" ref="H3:J7" totalsRowShown="0" headerRowDxfId="3">
  <autoFilter ref="H3:J7" xr:uid="{64EBB2F0-CAD1-4436-BF3B-6C73FDEAF2B2}"/>
  <tableColumns count="3">
    <tableColumn id="1" xr3:uid="{3C0D4167-4BC3-4DCE-8C5F-5443B51DC8CF}" name="Description" dataDxfId="2"/>
    <tableColumn id="2" xr3:uid="{681955A3-FA48-4429-A263-F8023B146A22}" name="Cost per Month" dataDxfId="1"/>
    <tableColumn id="3" xr3:uid="{957066DD-722B-40F2-8B99-D7B35A7733A7}" name="Cost per Year" dataDxfId="0">
      <calculatedColumnFormula>I4*12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C690-1732-4C72-BB72-2DCA881EF8CF}">
  <dimension ref="B2:J13"/>
  <sheetViews>
    <sheetView tabSelected="1" workbookViewId="0">
      <selection activeCell="F15" sqref="F15"/>
    </sheetView>
  </sheetViews>
  <sheetFormatPr defaultRowHeight="14.4" x14ac:dyDescent="0.3"/>
  <cols>
    <col min="2" max="2" width="19.5546875" bestFit="1" customWidth="1"/>
    <col min="3" max="3" width="16.6640625" customWidth="1"/>
    <col min="4" max="4" width="14.33203125" customWidth="1"/>
    <col min="5" max="5" width="13.33203125" bestFit="1" customWidth="1"/>
    <col min="8" max="8" width="19.21875" customWidth="1"/>
    <col min="9" max="9" width="17.109375" customWidth="1"/>
    <col min="10" max="10" width="15.6640625" customWidth="1"/>
  </cols>
  <sheetData>
    <row r="2" spans="2:10" x14ac:dyDescent="0.3">
      <c r="B2" t="s">
        <v>17</v>
      </c>
      <c r="H2" t="s">
        <v>16</v>
      </c>
    </row>
    <row r="3" spans="2:10" x14ac:dyDescent="0.3">
      <c r="B3" s="1" t="s">
        <v>0</v>
      </c>
      <c r="C3" s="1" t="s">
        <v>1</v>
      </c>
      <c r="D3" s="1" t="s">
        <v>7</v>
      </c>
      <c r="E3" s="2" t="s">
        <v>2</v>
      </c>
      <c r="H3" s="1" t="s">
        <v>9</v>
      </c>
      <c r="I3" s="1" t="s">
        <v>10</v>
      </c>
      <c r="J3" s="1" t="s">
        <v>11</v>
      </c>
    </row>
    <row r="4" spans="2:10" ht="28.8" x14ac:dyDescent="0.3">
      <c r="B4" s="3" t="s">
        <v>18</v>
      </c>
      <c r="C4" s="3">
        <v>16</v>
      </c>
      <c r="D4" s="5">
        <f t="shared" ref="D4:D9" si="0">$C$12</f>
        <v>35</v>
      </c>
      <c r="E4" s="6">
        <f>D4*(C4*$C$13)</f>
        <v>2240</v>
      </c>
      <c r="H4" s="3" t="s">
        <v>12</v>
      </c>
      <c r="I4" s="3">
        <v>13</v>
      </c>
      <c r="J4" s="5">
        <f>I4*12</f>
        <v>156</v>
      </c>
    </row>
    <row r="5" spans="2:10" ht="28.8" x14ac:dyDescent="0.3">
      <c r="B5" s="3" t="s">
        <v>19</v>
      </c>
      <c r="C5" s="3">
        <v>12</v>
      </c>
      <c r="D5" s="5">
        <f t="shared" si="0"/>
        <v>35</v>
      </c>
      <c r="E5" s="6">
        <f t="shared" ref="E5:E9" si="1">D5*(C5*$C$13)</f>
        <v>1680</v>
      </c>
      <c r="H5" s="3" t="s">
        <v>13</v>
      </c>
      <c r="I5" s="3">
        <v>130</v>
      </c>
      <c r="J5" s="5">
        <f t="shared" ref="J5:J7" si="2">I5*12</f>
        <v>1560</v>
      </c>
    </row>
    <row r="6" spans="2:10" ht="28.8" x14ac:dyDescent="0.3">
      <c r="B6" s="3" t="s">
        <v>3</v>
      </c>
      <c r="C6" s="3">
        <v>14</v>
      </c>
      <c r="D6" s="5">
        <f t="shared" si="0"/>
        <v>35</v>
      </c>
      <c r="E6" s="6">
        <f t="shared" si="1"/>
        <v>1960</v>
      </c>
      <c r="H6" s="3" t="s">
        <v>14</v>
      </c>
      <c r="I6" s="3">
        <v>0</v>
      </c>
      <c r="J6" s="5">
        <f t="shared" si="2"/>
        <v>0</v>
      </c>
    </row>
    <row r="7" spans="2:10" ht="28.8" x14ac:dyDescent="0.3">
      <c r="B7" s="3" t="s">
        <v>4</v>
      </c>
      <c r="C7" s="3">
        <v>18</v>
      </c>
      <c r="D7" s="5">
        <f t="shared" si="0"/>
        <v>35</v>
      </c>
      <c r="E7" s="6">
        <f t="shared" si="1"/>
        <v>2520</v>
      </c>
      <c r="H7" s="3" t="s">
        <v>15</v>
      </c>
      <c r="I7" s="3">
        <v>12.1</v>
      </c>
      <c r="J7" s="5">
        <f t="shared" si="2"/>
        <v>145.19999999999999</v>
      </c>
    </row>
    <row r="8" spans="2:10" ht="28.8" x14ac:dyDescent="0.3">
      <c r="B8" s="3" t="s">
        <v>5</v>
      </c>
      <c r="C8" s="3">
        <v>15</v>
      </c>
      <c r="D8" s="5">
        <f t="shared" si="0"/>
        <v>35</v>
      </c>
      <c r="E8" s="6">
        <f t="shared" si="1"/>
        <v>2100</v>
      </c>
    </row>
    <row r="9" spans="2:10" x14ac:dyDescent="0.3">
      <c r="B9" s="3" t="s">
        <v>6</v>
      </c>
      <c r="C9" s="3">
        <v>10</v>
      </c>
      <c r="D9" s="5">
        <f t="shared" si="0"/>
        <v>35</v>
      </c>
      <c r="E9" s="6">
        <f t="shared" si="1"/>
        <v>1400</v>
      </c>
    </row>
    <row r="10" spans="2:10" x14ac:dyDescent="0.3">
      <c r="B10" s="3" t="s">
        <v>2</v>
      </c>
      <c r="C10" s="3">
        <f>SUM(C4:C9)</f>
        <v>85</v>
      </c>
      <c r="D10" s="5"/>
      <c r="E10" s="6">
        <f>SUM(E4:E9)</f>
        <v>11900</v>
      </c>
    </row>
    <row r="12" spans="2:10" x14ac:dyDescent="0.3">
      <c r="B12" t="s">
        <v>8</v>
      </c>
      <c r="C12" s="4">
        <v>35</v>
      </c>
    </row>
    <row r="13" spans="2:10" x14ac:dyDescent="0.3">
      <c r="B13" t="s">
        <v>20</v>
      </c>
      <c r="C13">
        <v>4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314e0-712b-4211-8d58-7db8b0e2c6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68EFE86E59443ADBEC82DDB59295B" ma:contentTypeVersion="9" ma:contentTypeDescription="Een nieuw document maken." ma:contentTypeScope="" ma:versionID="03cae38f019b9d77cc9831a92865ebf0">
  <xsd:schema xmlns:xsd="http://www.w3.org/2001/XMLSchema" xmlns:xs="http://www.w3.org/2001/XMLSchema" xmlns:p="http://schemas.microsoft.com/office/2006/metadata/properties" xmlns:ns2="4e1314e0-712b-4211-8d58-7db8b0e2c643" targetNamespace="http://schemas.microsoft.com/office/2006/metadata/properties" ma:root="true" ma:fieldsID="ed38b79ea56e45143c6d156051bc75f9" ns2:_="">
    <xsd:import namespace="4e1314e0-712b-4211-8d58-7db8b0e2c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314e0-712b-4211-8d58-7db8b0e2c6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116184-1BF5-4EE7-9903-461A76CF258E}">
  <ds:schemaRefs>
    <ds:schemaRef ds:uri="4e1314e0-712b-4211-8d58-7db8b0e2c643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625E53-60E5-4259-9273-9CE733E115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4DE97-7E53-48E6-A1BC-334A540A1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1314e0-712b-4211-8d58-7db8b0e2c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Viveen,Milan M.</dc:creator>
  <cp:lastModifiedBy>Viveen,Milan M.</cp:lastModifiedBy>
  <cp:lastPrinted>2026-05-06T09:13:36Z</cp:lastPrinted>
  <dcterms:created xsi:type="dcterms:W3CDTF">2026-05-06T08:58:28Z</dcterms:created>
  <dcterms:modified xsi:type="dcterms:W3CDTF">2026-06-22T07:52:00Z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0x0101006DC68EFE86E59443ADBEC82DDB59295B</vt:lpwstr>
  </property>
</Properties>
</file>